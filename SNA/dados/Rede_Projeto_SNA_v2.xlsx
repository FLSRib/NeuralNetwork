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chostar-my.sharepoint.com/personal/fribeiro_hughes_com_br/Documents/Documentos/lixo/FGV/materiais/SNA/trabalho em grupo/mods v2/"/>
    </mc:Choice>
  </mc:AlternateContent>
  <xr:revisionPtr revIDLastSave="14" documentId="11_F8D39AAFE6B538C8D0FE9E680D28C82D48675AD6" xr6:coauthVersionLast="47" xr6:coauthVersionMax="47" xr10:uidLastSave="{DA68F41D-7704-5AA7-9654-AF78511A3051}"/>
  <bookViews>
    <workbookView xWindow="-108" yWindow="-108" windowWidth="23256" windowHeight="12456" xr2:uid="{00000000-000D-0000-FFFF-FFFF00000000}"/>
  </bookViews>
  <sheets>
    <sheet name="Notas V2" sheetId="1" r:id="rId1"/>
    <sheet name="matriz One-mode" sheetId="2" r:id="rId2"/>
    <sheet name="matriz Two-mode" sheetId="3" r:id="rId3"/>
    <sheet name="Atributos_Insumos" sheetId="4" r:id="rId4"/>
    <sheet name="Atributos_Port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5" l="1"/>
  <c r="D30" i="5"/>
  <c r="D29" i="5"/>
  <c r="D28" i="5"/>
  <c r="D27" i="5"/>
  <c r="D26" i="5"/>
  <c r="D25" i="5"/>
  <c r="D24" i="5"/>
  <c r="D23" i="5"/>
  <c r="D22" i="5"/>
  <c r="D21" i="5"/>
  <c r="F12" i="4" s="1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F8" i="4" s="1"/>
  <c r="D4" i="5"/>
  <c r="D3" i="5"/>
  <c r="D2" i="5"/>
  <c r="F20" i="4" s="1"/>
  <c r="E22" i="4"/>
  <c r="E21" i="4"/>
  <c r="E20" i="4"/>
  <c r="E19" i="4"/>
  <c r="E18" i="4"/>
  <c r="E17" i="4"/>
  <c r="E16" i="4"/>
  <c r="E15" i="4"/>
  <c r="E14" i="4"/>
  <c r="E13" i="4"/>
  <c r="E12" i="4"/>
  <c r="F11" i="4"/>
  <c r="E11" i="4"/>
  <c r="G11" i="4" s="1"/>
  <c r="E10" i="4"/>
  <c r="E9" i="4"/>
  <c r="E8" i="4"/>
  <c r="E7" i="4"/>
  <c r="E6" i="4"/>
  <c r="E5" i="4"/>
  <c r="E4" i="4"/>
  <c r="E3" i="4"/>
  <c r="E2" i="4"/>
  <c r="G8" i="4" l="1"/>
  <c r="G20" i="4"/>
  <c r="G12" i="4"/>
  <c r="G13" i="4"/>
  <c r="G5" i="4"/>
  <c r="G6" i="4"/>
  <c r="F4" i="4"/>
  <c r="G4" i="4" s="1"/>
  <c r="F16" i="4"/>
  <c r="G16" i="4" s="1"/>
  <c r="F21" i="4"/>
  <c r="G21" i="4" s="1"/>
  <c r="F3" i="4"/>
  <c r="G3" i="4" s="1"/>
  <c r="F5" i="4"/>
  <c r="F9" i="4"/>
  <c r="G9" i="4" s="1"/>
  <c r="F13" i="4"/>
  <c r="F17" i="4"/>
  <c r="G17" i="4" s="1"/>
  <c r="F2" i="4"/>
  <c r="G2" i="4" s="1"/>
  <c r="F6" i="4"/>
  <c r="F10" i="4"/>
  <c r="G10" i="4" s="1"/>
  <c r="F22" i="4"/>
  <c r="G22" i="4" s="1"/>
  <c r="F18" i="4"/>
  <c r="G18" i="4" s="1"/>
  <c r="F14" i="4"/>
  <c r="G14" i="4" s="1"/>
  <c r="F19" i="4"/>
  <c r="G19" i="4" s="1"/>
  <c r="F15" i="4"/>
  <c r="G15" i="4" s="1"/>
  <c r="F7" i="4"/>
  <c r="G7" i="4" s="1"/>
</calcChain>
</file>

<file path=xl/sharedStrings.xml><?xml version="1.0" encoding="utf-8"?>
<sst xmlns="http://schemas.openxmlformats.org/spreadsheetml/2006/main" count="329" uniqueCount="135">
  <si>
    <t>PROJETO SNA - VERSÃO 2</t>
  </si>
  <si>
    <t>Escopo</t>
  </si>
  <si>
    <t>Baseline one-mode com 39 portos e cenário atual two-mode com 30 portos comuns.</t>
  </si>
  <si>
    <t>Regra de preservação</t>
  </si>
  <si>
    <t>Os 30 primeiros portos do baseline permanecem idênticos aos 30 portos da rede two-mode.</t>
  </si>
  <si>
    <t>Nós exclusivos do baseline</t>
  </si>
  <si>
    <t>9 portos do Mar Negro/Mar de Azov, removidos no cenário atual modelado.</t>
  </si>
  <si>
    <t>Redução modelada</t>
  </si>
  <si>
    <t>9 de 39 portos (23,1%).</t>
  </si>
  <si>
    <t>Mariupol</t>
  </si>
  <si>
    <t>Berdyansk</t>
  </si>
  <si>
    <t>Kherson</t>
  </si>
  <si>
    <t>Skadovsk</t>
  </si>
  <si>
    <t>Mykolaiv</t>
  </si>
  <si>
    <t>Olvia</t>
  </si>
  <si>
    <t>Chornomorsk</t>
  </si>
  <si>
    <t>Pivdennyi</t>
  </si>
  <si>
    <t>Bilhorod-Dnistrovskyi</t>
  </si>
  <si>
    <t>Label</t>
  </si>
  <si>
    <t>Houston</t>
  </si>
  <si>
    <t>Qingdao</t>
  </si>
  <si>
    <t>Odesa</t>
  </si>
  <si>
    <t>Arzew</t>
  </si>
  <si>
    <t>Nova Orleans</t>
  </si>
  <si>
    <t>Vancouver</t>
  </si>
  <si>
    <t>Point Lisas</t>
  </si>
  <si>
    <t>Tianjin</t>
  </si>
  <si>
    <t>Ras Al-Khair</t>
  </si>
  <si>
    <t>Ruwais</t>
  </si>
  <si>
    <t>Yanbu</t>
  </si>
  <si>
    <t>Mundra</t>
  </si>
  <si>
    <t>Novorossiysk</t>
  </si>
  <si>
    <t>Tampa</t>
  </si>
  <si>
    <t>Corpus Christi</t>
  </si>
  <si>
    <t>Callao</t>
  </si>
  <si>
    <t>Bandar Abbas</t>
  </si>
  <si>
    <t>Roterdã</t>
  </si>
  <si>
    <t>Aqaba</t>
  </si>
  <si>
    <t>Jubail</t>
  </si>
  <si>
    <t>Ningbo</t>
  </si>
  <si>
    <t>Xangai</t>
  </si>
  <si>
    <t>Jeddah</t>
  </si>
  <si>
    <t>Taman</t>
  </si>
  <si>
    <t>Casablanca</t>
  </si>
  <si>
    <t>Hamburgo</t>
  </si>
  <si>
    <t>Antuérpia</t>
  </si>
  <si>
    <t>Mesaieed</t>
  </si>
  <si>
    <t>Antofagasta</t>
  </si>
  <si>
    <t>Jorf Lasfar</t>
  </si>
  <si>
    <t>Porto</t>
  </si>
  <si>
    <t>Soda cáustica</t>
  </si>
  <si>
    <t>Etilenoglicol</t>
  </si>
  <si>
    <t>Amônia anidra</t>
  </si>
  <si>
    <t>Metanol</t>
  </si>
  <si>
    <t>MAP (fosfato monoamônico)</t>
  </si>
  <si>
    <t>Nitrato de amônio</t>
  </si>
  <si>
    <t>Enxofre</t>
  </si>
  <si>
    <t>Superfosfato triplo (TSP)</t>
  </si>
  <si>
    <t>Barrilha (carbonato de sódio)</t>
  </si>
  <si>
    <t>Dióxido de titânio</t>
  </si>
  <si>
    <t>Sulfato de potássio</t>
  </si>
  <si>
    <t>2,4-D</t>
  </si>
  <si>
    <t>Atrazina</t>
  </si>
  <si>
    <t>Glifosato</t>
  </si>
  <si>
    <t>Ácido fosfórico</t>
  </si>
  <si>
    <t>Cloreto de potássio (KCl)</t>
  </si>
  <si>
    <t>Ureia</t>
  </si>
  <si>
    <t>Sulfato de amônio</t>
  </si>
  <si>
    <t>Ácido sulfúrico</t>
  </si>
  <si>
    <t>Mancozebe</t>
  </si>
  <si>
    <t>DAP (fosfato diamônico)</t>
  </si>
  <si>
    <t>Insumo (coluna)</t>
  </si>
  <si>
    <t>Tipo de uso</t>
  </si>
  <si>
    <t>Exposição (hipótese inicial)</t>
  </si>
  <si>
    <t>Hipótese de origem/rota</t>
  </si>
  <si>
    <t>Grau (nº de importadores)</t>
  </si>
  <si>
    <t>Portos fornecedores expostos (nº)</t>
  </si>
  <si>
    <t>% de fornecedores expostos (rede)</t>
  </si>
  <si>
    <t>Indústria</t>
  </si>
  <si>
    <t>Não exposta</t>
  </si>
  <si>
    <t>EUA/Canadá – Atlântico</t>
  </si>
  <si>
    <t>Mar Vermelho</t>
  </si>
  <si>
    <t>Arábia Saudita (Yanbu/Jubail) – Mar Vermelho e Golfo</t>
  </si>
  <si>
    <t>Agro/Indústria</t>
  </si>
  <si>
    <t>Trinidad e Tobago/Argélia – Atlântico</t>
  </si>
  <si>
    <t>Hormuz</t>
  </si>
  <si>
    <t>Oriente Médio (Golfo Pérsico) – Ormuz</t>
  </si>
  <si>
    <t>Agro</t>
  </si>
  <si>
    <t>Mista</t>
  </si>
  <si>
    <t>Rússia (Mar Negro/Báltico), Golfo (Ormuz), Marrocos</t>
  </si>
  <si>
    <t>Mar Negro</t>
  </si>
  <si>
    <t>Rússia – Mar Negro/Báltico</t>
  </si>
  <si>
    <t>Catar/EAU/Arábia Saudita – Ormuz</t>
  </si>
  <si>
    <t>Marrocos/Tunísia – Atlântico/Mediterrâneo</t>
  </si>
  <si>
    <t>EUA – Atlântico</t>
  </si>
  <si>
    <t>China/EUA – Pacífico/Cabo</t>
  </si>
  <si>
    <t>Europa/Chile – Atlântico</t>
  </si>
  <si>
    <t>China – Pacífico/Cabo</t>
  </si>
  <si>
    <t>China/Índia – Pacífico/Cabo</t>
  </si>
  <si>
    <t>Jordânia (Aqaba) – Mar Vermelho</t>
  </si>
  <si>
    <t>Canadá (Atlântico) + Rússia/Belarus (Mar Negro/Báltico)</t>
  </si>
  <si>
    <t>Catar/Omã/Arábia Saudita – Ormuz; Rússia – Mar Negro</t>
  </si>
  <si>
    <t>Chile/Peru – Pacífico/Atlântico</t>
  </si>
  <si>
    <t>Índia/China – Cabo</t>
  </si>
  <si>
    <t>Arábia Saudita (Ras Al-Khair) – Ormuz</t>
  </si>
  <si>
    <t>Nota: exposição e origens são HIPÓTESES ilustrativas, a validar com dados do ComexStat (MDIC) antes da entrega. Mista = fornecedores expostos e não expostos.</t>
  </si>
  <si>
    <t>Coluna G: calculada a partir da rede (portos expostos ligados ao insumo ÷ total de portos ligados).</t>
  </si>
  <si>
    <t>Porto (linha)</t>
  </si>
  <si>
    <t>País / região</t>
  </si>
  <si>
    <t>Exposição</t>
  </si>
  <si>
    <t>Exposto? (1=sim)</t>
  </si>
  <si>
    <t>EUA</t>
  </si>
  <si>
    <t>Não exposto</t>
  </si>
  <si>
    <t>China</t>
  </si>
  <si>
    <t>Ucrânia (Mar Negro)</t>
  </si>
  <si>
    <t>Argélia</t>
  </si>
  <si>
    <t>Canadá</t>
  </si>
  <si>
    <t>Trinidad e Tobago</t>
  </si>
  <si>
    <t>Arábia Saudita (Golfo)</t>
  </si>
  <si>
    <t>Ormuz</t>
  </si>
  <si>
    <t>Emirados (Golfo)</t>
  </si>
  <si>
    <t>Arábia Saudita (Mar Vermelho)</t>
  </si>
  <si>
    <t>Índia</t>
  </si>
  <si>
    <t>Rússia (Mar Negro)</t>
  </si>
  <si>
    <t>Peru</t>
  </si>
  <si>
    <t>Irã (Ormuz)</t>
  </si>
  <si>
    <t>Países Baixos</t>
  </si>
  <si>
    <t>Jordânia (Mar Vermelho)</t>
  </si>
  <si>
    <t>Marrocos</t>
  </si>
  <si>
    <t>Alemanha</t>
  </si>
  <si>
    <t>Bélgica</t>
  </si>
  <si>
    <t>Catar (Golfo)</t>
  </si>
  <si>
    <t>Chile</t>
  </si>
  <si>
    <t>Nota: seleção e classificação ILUSTRATIVAS; as ligações porto×insumo vêm da matriz fornecida, então não refletem a especialização real de cada porto. Marco temporal do baseline (one-mode): 2021.</t>
  </si>
  <si>
    <r>
      <rPr>
        <b/>
        <sz val="11"/>
        <color theme="1"/>
        <rFont val="Calibri"/>
        <family val="2"/>
        <scheme val="minor"/>
      </rPr>
      <t>Disclaimer</t>
    </r>
    <r>
      <rPr>
        <sz val="11"/>
        <color theme="1"/>
        <rFont val="Calibri"/>
        <family val="2"/>
        <scheme val="minor"/>
      </rPr>
      <t xml:space="preserve">: A rede apresentada constitui um cenário acadêmico e ilustrativo de análise de vulnerabilidade por SNA. O baseline de 39 portos e o cenário atual de 30 portos são utilizados para simular a redução de alternativas logísticas sob condições de estresse. A remoção dos nove nós não significa fechamento físico permanente dos respectivos portos. </t>
    </r>
    <r>
      <rPr>
        <sz val="11"/>
        <color rgb="FFFF0000"/>
        <rFont val="Calibri"/>
        <family val="2"/>
        <scheme val="minor"/>
      </rPr>
      <t>Como a topologia da matriz original foi preservada, graus e conexões representam propriedades do modelo e não métricas históricas observadas desses portos</t>
    </r>
    <r>
      <rPr>
        <sz val="11"/>
        <color theme="1"/>
        <rFont val="Calibri"/>
        <family val="2"/>
        <scheme val="minor"/>
      </rPr>
      <t>. Os resultados devem, portanto, ser interpretados como indicadores de vulnerabilidade estrutural do cenário modelado, e não como uma reconstrução empírica completa da cadeia de suprimentos.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</si>
</sst>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6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9" fontId="4" fillId="0" borderId="0" xfId="0" applyNumberFormat="1" applyFont="1"/>
    <xf numFmtId="0" fontId="5" fillId="3" borderId="0" xfId="0" applyFont="1" applyFill="1"/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tabSelected="1" workbookViewId="0">
      <pane ySplit="6" topLeftCell="A7" activePane="bottomLeft" state="frozen"/>
      <selection pane="bottomLeft" activeCell="G21" sqref="G21"/>
    </sheetView>
  </sheetViews>
  <sheetFormatPr defaultRowHeight="14.4" x14ac:dyDescent="0.3"/>
  <cols>
    <col min="1" max="1" width="31" customWidth="1"/>
    <col min="2" max="2" width="95" customWidth="1"/>
  </cols>
  <sheetData>
    <row r="1" spans="1:2" ht="21" x14ac:dyDescent="0.4">
      <c r="A1" s="7" t="s">
        <v>0</v>
      </c>
      <c r="B1" s="8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7" spans="1:2" x14ac:dyDescent="0.3">
      <c r="A7" s="9" t="s">
        <v>134</v>
      </c>
      <c r="B7" s="9"/>
    </row>
    <row r="8" spans="1:2" x14ac:dyDescent="0.3">
      <c r="A8" s="9"/>
      <c r="B8" s="9"/>
    </row>
    <row r="9" spans="1:2" x14ac:dyDescent="0.3">
      <c r="A9" s="9"/>
      <c r="B9" s="9"/>
    </row>
    <row r="10" spans="1:2" x14ac:dyDescent="0.3">
      <c r="A10" s="9"/>
      <c r="B10" s="9"/>
    </row>
    <row r="11" spans="1:2" x14ac:dyDescent="0.3">
      <c r="A11" s="9"/>
      <c r="B11" s="9"/>
    </row>
    <row r="12" spans="1:2" x14ac:dyDescent="0.3">
      <c r="A12" s="9"/>
      <c r="B12" s="9"/>
    </row>
    <row r="13" spans="1:2" x14ac:dyDescent="0.3">
      <c r="A13" s="9"/>
      <c r="B13" s="9"/>
    </row>
    <row r="14" spans="1:2" x14ac:dyDescent="0.3">
      <c r="A14" s="9"/>
      <c r="B14" s="9"/>
    </row>
    <row r="15" spans="1:2" x14ac:dyDescent="0.3">
      <c r="A15" s="9"/>
      <c r="B15" s="9"/>
    </row>
    <row r="16" spans="1:2" x14ac:dyDescent="0.3">
      <c r="A16" s="9"/>
      <c r="B16" s="9"/>
    </row>
    <row r="17" spans="1:2" x14ac:dyDescent="0.3">
      <c r="A17" s="9"/>
      <c r="B17" s="9"/>
    </row>
    <row r="18" spans="1:2" x14ac:dyDescent="0.3">
      <c r="A18" s="9"/>
      <c r="B18" s="9"/>
    </row>
    <row r="19" spans="1:2" x14ac:dyDescent="0.3">
      <c r="A19" s="9"/>
      <c r="B19" s="9"/>
    </row>
    <row r="20" spans="1:2" x14ac:dyDescent="0.3">
      <c r="A20" s="9"/>
      <c r="B20" s="9"/>
    </row>
    <row r="21" spans="1:2" x14ac:dyDescent="0.3">
      <c r="A21" s="9"/>
      <c r="B21" s="9"/>
    </row>
    <row r="22" spans="1:2" x14ac:dyDescent="0.3">
      <c r="A22" s="9"/>
      <c r="B22" s="9"/>
    </row>
    <row r="23" spans="1:2" x14ac:dyDescent="0.3">
      <c r="A23" s="9"/>
      <c r="B23" s="9"/>
    </row>
    <row r="24" spans="1:2" x14ac:dyDescent="0.3">
      <c r="A24" s="9"/>
      <c r="B24" s="9"/>
    </row>
  </sheetData>
  <mergeCells count="2">
    <mergeCell ref="A1:B1"/>
    <mergeCell ref="A7:B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0"/>
  <sheetViews>
    <sheetView showGridLines="0" workbookViewId="0">
      <selection activeCell="F29" sqref="F29"/>
    </sheetView>
  </sheetViews>
  <sheetFormatPr defaultRowHeight="14.4" x14ac:dyDescent="0.3"/>
  <sheetData>
    <row r="1" spans="1:40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14</v>
      </c>
      <c r="AL1" s="1" t="s">
        <v>15</v>
      </c>
      <c r="AM1" s="1" t="s">
        <v>16</v>
      </c>
      <c r="AN1" s="1" t="s">
        <v>17</v>
      </c>
    </row>
    <row r="2" spans="1:40" x14ac:dyDescent="0.3">
      <c r="A2" t="s">
        <v>19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0</v>
      </c>
      <c r="AJ2">
        <v>1</v>
      </c>
      <c r="AK2">
        <v>0</v>
      </c>
      <c r="AL2">
        <v>1</v>
      </c>
      <c r="AM2">
        <v>1</v>
      </c>
      <c r="AN2">
        <v>0</v>
      </c>
    </row>
    <row r="3" spans="1:40" x14ac:dyDescent="0.3">
      <c r="A3" t="s">
        <v>20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</row>
    <row r="4" spans="1:40" x14ac:dyDescent="0.3">
      <c r="A4" t="s">
        <v>21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</row>
    <row r="5" spans="1:40" x14ac:dyDescent="0.3">
      <c r="A5" t="s">
        <v>22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</row>
    <row r="6" spans="1:40" x14ac:dyDescent="0.3">
      <c r="A6" t="s">
        <v>23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</row>
    <row r="7" spans="1:40" x14ac:dyDescent="0.3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</row>
    <row r="8" spans="1:40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</row>
    <row r="9" spans="1:40" x14ac:dyDescent="0.3">
      <c r="A9" t="s">
        <v>26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</row>
    <row r="10" spans="1:40" x14ac:dyDescent="0.3">
      <c r="A10" t="s">
        <v>27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</row>
    <row r="11" spans="1:40" x14ac:dyDescent="0.3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</row>
    <row r="12" spans="1:40" x14ac:dyDescent="0.3">
      <c r="A12" t="s">
        <v>29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</row>
    <row r="13" spans="1:40" x14ac:dyDescent="0.3">
      <c r="A13" t="s">
        <v>30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</row>
    <row r="14" spans="1:40" x14ac:dyDescent="0.3">
      <c r="A14" t="s">
        <v>31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</row>
    <row r="15" spans="1:40" x14ac:dyDescent="0.3">
      <c r="A15" t="s">
        <v>32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</row>
    <row r="16" spans="1:40" x14ac:dyDescent="0.3">
      <c r="A16" t="s">
        <v>33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</row>
    <row r="17" spans="1:40" x14ac:dyDescent="0.3">
      <c r="A17" t="s">
        <v>34</v>
      </c>
      <c r="B17">
        <v>0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</row>
    <row r="18" spans="1:40" x14ac:dyDescent="0.3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</row>
    <row r="19" spans="1:40" x14ac:dyDescent="0.3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</row>
    <row r="20" spans="1:40" x14ac:dyDescent="0.3">
      <c r="A20" t="s">
        <v>37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</row>
    <row r="21" spans="1:40" x14ac:dyDescent="0.3">
      <c r="A21" t="s">
        <v>38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</row>
    <row r="22" spans="1:40" x14ac:dyDescent="0.3">
      <c r="A22" t="s">
        <v>39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</row>
    <row r="23" spans="1:40" x14ac:dyDescent="0.3">
      <c r="A23" t="s">
        <v>40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1</v>
      </c>
    </row>
    <row r="24" spans="1:40" x14ac:dyDescent="0.3">
      <c r="A24" t="s">
        <v>41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</row>
    <row r="25" spans="1:40" x14ac:dyDescent="0.3">
      <c r="A25" t="s">
        <v>42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</row>
    <row r="26" spans="1:40" x14ac:dyDescent="0.3">
      <c r="A26" t="s">
        <v>43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</row>
    <row r="27" spans="1:40" x14ac:dyDescent="0.3">
      <c r="A27" t="s">
        <v>44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</row>
    <row r="28" spans="1:40" x14ac:dyDescent="0.3">
      <c r="A28" t="s">
        <v>45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1</v>
      </c>
    </row>
    <row r="29" spans="1:40" x14ac:dyDescent="0.3">
      <c r="A29" t="s">
        <v>46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1</v>
      </c>
    </row>
    <row r="30" spans="1:40" x14ac:dyDescent="0.3">
      <c r="A30" t="s">
        <v>47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</row>
    <row r="31" spans="1:40" x14ac:dyDescent="0.3">
      <c r="A31" t="s">
        <v>48</v>
      </c>
      <c r="B31">
        <v>1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0</v>
      </c>
      <c r="AN31">
        <v>0</v>
      </c>
    </row>
    <row r="32" spans="1:40" x14ac:dyDescent="0.3">
      <c r="A32" t="s">
        <v>9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1</v>
      </c>
      <c r="AM32">
        <v>0</v>
      </c>
      <c r="AN32">
        <v>0</v>
      </c>
    </row>
    <row r="33" spans="1:40" x14ac:dyDescent="0.3">
      <c r="A33" t="s">
        <v>10</v>
      </c>
      <c r="B33">
        <v>1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0</v>
      </c>
    </row>
    <row r="34" spans="1:40" x14ac:dyDescent="0.3">
      <c r="A34" t="s">
        <v>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</row>
    <row r="35" spans="1:40" x14ac:dyDescent="0.3">
      <c r="A35" t="s">
        <v>12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</row>
    <row r="36" spans="1:40" x14ac:dyDescent="0.3">
      <c r="A36" t="s">
        <v>13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</row>
    <row r="37" spans="1:40" x14ac:dyDescent="0.3">
      <c r="A37" t="s">
        <v>14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</row>
    <row r="38" spans="1:40" x14ac:dyDescent="0.3">
      <c r="A38" t="s">
        <v>15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</row>
    <row r="39" spans="1:40" x14ac:dyDescent="0.3">
      <c r="A39" t="s">
        <v>16</v>
      </c>
      <c r="B39">
        <v>1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1</v>
      </c>
    </row>
    <row r="40" spans="1:40" x14ac:dyDescent="0.3">
      <c r="A40" t="s">
        <v>17</v>
      </c>
      <c r="B40">
        <v>0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showGridLines="0" workbookViewId="0">
      <selection activeCell="D30" sqref="D30"/>
    </sheetView>
  </sheetViews>
  <sheetFormatPr defaultRowHeight="14.4" x14ac:dyDescent="0.3"/>
  <cols>
    <col min="1" max="1" width="16" customWidth="1"/>
    <col min="3" max="3" width="5.88671875" customWidth="1"/>
    <col min="4" max="4" width="16.5546875" customWidth="1"/>
    <col min="5" max="5" width="14.33203125" customWidth="1"/>
    <col min="6" max="6" width="20.88671875" customWidth="1"/>
    <col min="7" max="7" width="20" customWidth="1"/>
    <col min="8" max="8" width="17" customWidth="1"/>
    <col min="9" max="9" width="14.88671875" customWidth="1"/>
    <col min="10" max="10" width="16.5546875" customWidth="1"/>
    <col min="11" max="11" width="11.33203125" customWidth="1"/>
    <col min="12" max="12" width="11.109375" customWidth="1"/>
    <col min="13" max="13" width="8" customWidth="1"/>
    <col min="16" max="16" width="5.6640625" customWidth="1"/>
    <col min="17" max="17" width="10.33203125" customWidth="1"/>
    <col min="18" max="18" width="11" customWidth="1"/>
    <col min="19" max="19" width="12" customWidth="1"/>
    <col min="20" max="20" width="9.6640625" customWidth="1"/>
    <col min="21" max="21" width="15.109375" customWidth="1"/>
  </cols>
  <sheetData>
    <row r="1" spans="1:22" ht="45" customHeight="1" x14ac:dyDescent="0.3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</row>
    <row r="2" spans="1:22" ht="14.25" customHeight="1" x14ac:dyDescent="0.3">
      <c r="A2" s="3" t="s">
        <v>19</v>
      </c>
      <c r="B2" s="3">
        <v>1</v>
      </c>
      <c r="C2" s="3">
        <v>1</v>
      </c>
      <c r="D2" s="3">
        <v>0</v>
      </c>
      <c r="E2" s="3">
        <v>1</v>
      </c>
      <c r="F2" s="3">
        <v>1</v>
      </c>
      <c r="G2" s="3">
        <v>0</v>
      </c>
      <c r="H2" s="3">
        <v>1</v>
      </c>
      <c r="I2" s="3">
        <v>1</v>
      </c>
      <c r="J2" s="3">
        <v>1</v>
      </c>
      <c r="K2" s="3">
        <v>1</v>
      </c>
      <c r="L2" s="3">
        <v>0</v>
      </c>
      <c r="M2" s="3">
        <v>0</v>
      </c>
      <c r="N2" s="3">
        <v>0</v>
      </c>
      <c r="O2" s="3">
        <v>1</v>
      </c>
      <c r="P2" s="3">
        <v>0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</row>
    <row r="3" spans="1:22" ht="14.25" customHeight="1" x14ac:dyDescent="0.3">
      <c r="A3" s="3" t="s">
        <v>20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0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0</v>
      </c>
      <c r="N3" s="3">
        <v>1</v>
      </c>
      <c r="O3" s="3">
        <v>1</v>
      </c>
      <c r="P3" s="3">
        <v>0</v>
      </c>
      <c r="Q3" s="3">
        <v>1</v>
      </c>
      <c r="R3" s="3">
        <v>1</v>
      </c>
      <c r="S3" s="3">
        <v>1</v>
      </c>
      <c r="T3" s="3">
        <v>0</v>
      </c>
      <c r="U3" s="3">
        <v>1</v>
      </c>
      <c r="V3" s="3">
        <v>1</v>
      </c>
    </row>
    <row r="4" spans="1:22" ht="14.25" customHeight="1" x14ac:dyDescent="0.3">
      <c r="A4" s="3" t="s">
        <v>21</v>
      </c>
      <c r="B4" s="3">
        <v>0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1</v>
      </c>
      <c r="P4" s="3">
        <v>0</v>
      </c>
      <c r="Q4" s="3">
        <v>1</v>
      </c>
      <c r="R4" s="3">
        <v>1</v>
      </c>
      <c r="S4" s="3">
        <v>0</v>
      </c>
      <c r="T4" s="3">
        <v>0</v>
      </c>
      <c r="U4" s="3">
        <v>1</v>
      </c>
      <c r="V4" s="3">
        <v>0</v>
      </c>
    </row>
    <row r="5" spans="1:22" ht="14.25" customHeight="1" x14ac:dyDescent="0.3">
      <c r="A5" s="3" t="s">
        <v>22</v>
      </c>
      <c r="B5" s="3">
        <v>1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1</v>
      </c>
      <c r="O5" s="3">
        <v>0</v>
      </c>
      <c r="P5" s="3">
        <v>0</v>
      </c>
      <c r="Q5" s="3">
        <v>1</v>
      </c>
      <c r="R5" s="3">
        <v>1</v>
      </c>
      <c r="S5" s="3">
        <v>0</v>
      </c>
      <c r="T5" s="3">
        <v>0</v>
      </c>
      <c r="U5" s="3">
        <v>1</v>
      </c>
      <c r="V5" s="3">
        <v>0</v>
      </c>
    </row>
    <row r="6" spans="1:22" ht="14.25" customHeight="1" x14ac:dyDescent="0.3">
      <c r="A6" s="3" t="s">
        <v>23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0</v>
      </c>
      <c r="H6" s="3">
        <v>0</v>
      </c>
      <c r="I6" s="3">
        <v>1</v>
      </c>
      <c r="J6" s="3">
        <v>1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>
        <v>1</v>
      </c>
      <c r="S6" s="3">
        <v>1</v>
      </c>
      <c r="T6" s="3">
        <v>1</v>
      </c>
      <c r="U6" s="3">
        <v>0</v>
      </c>
      <c r="V6" s="3">
        <v>1</v>
      </c>
    </row>
    <row r="7" spans="1:22" ht="14.25" customHeight="1" x14ac:dyDescent="0.3">
      <c r="A7" s="3" t="s">
        <v>24</v>
      </c>
      <c r="B7" s="3">
        <v>0</v>
      </c>
      <c r="C7" s="3">
        <v>0</v>
      </c>
      <c r="D7" s="3">
        <v>1</v>
      </c>
      <c r="E7" s="3">
        <v>0</v>
      </c>
      <c r="F7" s="3">
        <v>1</v>
      </c>
      <c r="G7" s="3">
        <v>0</v>
      </c>
      <c r="H7" s="3">
        <v>0</v>
      </c>
      <c r="I7" s="3">
        <v>1</v>
      </c>
      <c r="J7" s="3">
        <v>1</v>
      </c>
      <c r="K7" s="3">
        <v>1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1</v>
      </c>
    </row>
    <row r="8" spans="1:22" ht="14.25" customHeight="1" x14ac:dyDescent="0.3">
      <c r="A8" s="3" t="s">
        <v>25</v>
      </c>
      <c r="B8" s="3">
        <v>1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1</v>
      </c>
      <c r="P8" s="3">
        <v>0</v>
      </c>
      <c r="Q8" s="3">
        <v>1</v>
      </c>
      <c r="R8" s="3">
        <v>1</v>
      </c>
      <c r="S8" s="3">
        <v>1</v>
      </c>
      <c r="T8" s="3">
        <v>0</v>
      </c>
      <c r="U8" s="3">
        <v>0</v>
      </c>
      <c r="V8" s="3">
        <v>0</v>
      </c>
    </row>
    <row r="9" spans="1:22" ht="14.25" customHeight="1" x14ac:dyDescent="0.3">
      <c r="A9" s="3" t="s">
        <v>26</v>
      </c>
      <c r="B9" s="3">
        <v>1</v>
      </c>
      <c r="C9" s="3">
        <v>0</v>
      </c>
      <c r="D9" s="3">
        <v>1</v>
      </c>
      <c r="E9" s="3">
        <v>0</v>
      </c>
      <c r="F9" s="3">
        <v>1</v>
      </c>
      <c r="G9" s="3">
        <v>0</v>
      </c>
      <c r="H9" s="3">
        <v>1</v>
      </c>
      <c r="I9" s="3">
        <v>1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1</v>
      </c>
      <c r="R9" s="3">
        <v>1</v>
      </c>
      <c r="S9" s="3">
        <v>0</v>
      </c>
      <c r="T9" s="3">
        <v>0</v>
      </c>
      <c r="U9" s="3">
        <v>0</v>
      </c>
      <c r="V9" s="3">
        <v>1</v>
      </c>
    </row>
    <row r="10" spans="1:22" ht="14.25" customHeight="1" x14ac:dyDescent="0.3">
      <c r="A10" s="3" t="s">
        <v>27</v>
      </c>
      <c r="B10" s="3">
        <v>0</v>
      </c>
      <c r="C10" s="3">
        <v>1</v>
      </c>
      <c r="D10" s="3">
        <v>1</v>
      </c>
      <c r="E10" s="3">
        <v>1</v>
      </c>
      <c r="F10" s="3">
        <v>1</v>
      </c>
      <c r="G10" s="3">
        <v>0</v>
      </c>
      <c r="H10" s="3">
        <v>0</v>
      </c>
      <c r="I10" s="3">
        <v>1</v>
      </c>
      <c r="J10" s="3">
        <v>1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1</v>
      </c>
      <c r="R10" s="3">
        <v>1</v>
      </c>
      <c r="S10" s="3">
        <v>0</v>
      </c>
      <c r="T10" s="3">
        <v>0</v>
      </c>
      <c r="U10" s="3">
        <v>1</v>
      </c>
      <c r="V10" s="3">
        <v>1</v>
      </c>
    </row>
    <row r="11" spans="1:22" ht="14.25" customHeight="1" x14ac:dyDescent="0.3">
      <c r="A11" s="3" t="s">
        <v>28</v>
      </c>
      <c r="B11" s="3">
        <v>1</v>
      </c>
      <c r="C11" s="3">
        <v>0</v>
      </c>
      <c r="D11" s="3">
        <v>1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0</v>
      </c>
    </row>
    <row r="12" spans="1:22" ht="14.25" customHeight="1" x14ac:dyDescent="0.3">
      <c r="A12" s="3" t="s">
        <v>29</v>
      </c>
      <c r="B12" s="3">
        <v>0</v>
      </c>
      <c r="C12" s="3">
        <v>1</v>
      </c>
      <c r="D12" s="3">
        <v>0</v>
      </c>
      <c r="E12" s="3">
        <v>0</v>
      </c>
      <c r="F12" s="3">
        <v>1</v>
      </c>
      <c r="G12" s="3">
        <v>0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  <c r="Q12" s="3">
        <v>1</v>
      </c>
      <c r="R12" s="3">
        <v>1</v>
      </c>
      <c r="S12" s="3">
        <v>1</v>
      </c>
      <c r="T12" s="3">
        <v>0</v>
      </c>
      <c r="U12" s="3">
        <v>1</v>
      </c>
      <c r="V12" s="3">
        <v>1</v>
      </c>
    </row>
    <row r="13" spans="1:22" ht="14.25" customHeight="1" x14ac:dyDescent="0.3">
      <c r="A13" s="3" t="s">
        <v>30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1</v>
      </c>
      <c r="K13" s="3">
        <v>0</v>
      </c>
      <c r="L13" s="3">
        <v>1</v>
      </c>
      <c r="M13" s="3">
        <v>0</v>
      </c>
      <c r="N13" s="3">
        <v>0</v>
      </c>
      <c r="O13" s="3">
        <v>1</v>
      </c>
      <c r="P13" s="3">
        <v>0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</row>
    <row r="14" spans="1:22" ht="14.25" customHeight="1" x14ac:dyDescent="0.3">
      <c r="A14" s="3" t="s">
        <v>31</v>
      </c>
      <c r="B14" s="3">
        <v>0</v>
      </c>
      <c r="C14" s="3">
        <v>1</v>
      </c>
      <c r="D14" s="3">
        <v>1</v>
      </c>
      <c r="E14" s="3">
        <v>1</v>
      </c>
      <c r="F14" s="3">
        <v>1</v>
      </c>
      <c r="G14" s="3">
        <v>0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1</v>
      </c>
      <c r="O14" s="3">
        <v>1</v>
      </c>
      <c r="P14" s="3">
        <v>0</v>
      </c>
      <c r="Q14" s="3">
        <v>1</v>
      </c>
      <c r="R14" s="3">
        <v>1</v>
      </c>
      <c r="S14" s="3">
        <v>1</v>
      </c>
      <c r="T14" s="3">
        <v>0</v>
      </c>
      <c r="U14" s="3">
        <v>0</v>
      </c>
      <c r="V14" s="3">
        <v>1</v>
      </c>
    </row>
    <row r="15" spans="1:22" ht="14.25" customHeight="1" x14ac:dyDescent="0.3">
      <c r="A15" s="3" t="s">
        <v>32</v>
      </c>
      <c r="B15" s="3">
        <v>1</v>
      </c>
      <c r="C15" s="3">
        <v>0</v>
      </c>
      <c r="D15" s="3">
        <v>1</v>
      </c>
      <c r="E15" s="3">
        <v>0</v>
      </c>
      <c r="F15" s="3">
        <v>1</v>
      </c>
      <c r="G15" s="3">
        <v>0</v>
      </c>
      <c r="H15" s="3">
        <v>1</v>
      </c>
      <c r="I15" s="3">
        <v>1</v>
      </c>
      <c r="J15" s="3">
        <v>0</v>
      </c>
      <c r="K15" s="3">
        <v>0</v>
      </c>
      <c r="L15" s="3">
        <v>0</v>
      </c>
      <c r="M15" s="3">
        <v>1</v>
      </c>
      <c r="N15" s="3">
        <v>0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ht="14.25" customHeight="1" x14ac:dyDescent="0.3">
      <c r="A16" s="3" t="s">
        <v>33</v>
      </c>
      <c r="B16" s="3">
        <v>1</v>
      </c>
      <c r="C16" s="3">
        <v>0</v>
      </c>
      <c r="D16" s="3">
        <v>1</v>
      </c>
      <c r="E16" s="3">
        <v>0</v>
      </c>
      <c r="F16" s="3">
        <v>1</v>
      </c>
      <c r="G16" s="3">
        <v>0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1</v>
      </c>
      <c r="N16" s="3">
        <v>0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</row>
    <row r="17" spans="1:22" ht="14.25" customHeight="1" x14ac:dyDescent="0.3">
      <c r="A17" s="3" t="s">
        <v>34</v>
      </c>
      <c r="B17" s="3">
        <v>1</v>
      </c>
      <c r="C17" s="3">
        <v>0</v>
      </c>
      <c r="D17" s="3">
        <v>1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0</v>
      </c>
      <c r="P17" s="3">
        <v>1</v>
      </c>
      <c r="Q17" s="3">
        <v>1</v>
      </c>
      <c r="R17" s="3">
        <v>1</v>
      </c>
      <c r="S17" s="3">
        <v>0</v>
      </c>
      <c r="T17" s="3">
        <v>0</v>
      </c>
      <c r="U17" s="3">
        <v>0</v>
      </c>
      <c r="V17" s="3">
        <v>0</v>
      </c>
    </row>
    <row r="18" spans="1:22" ht="14.25" customHeight="1" x14ac:dyDescent="0.3">
      <c r="A18" s="3" t="s">
        <v>35</v>
      </c>
      <c r="B18" s="3">
        <v>0</v>
      </c>
      <c r="C18" s="3">
        <v>1</v>
      </c>
      <c r="D18" s="3">
        <v>0</v>
      </c>
      <c r="E18" s="3">
        <v>1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1</v>
      </c>
      <c r="R18" s="3">
        <v>1</v>
      </c>
      <c r="S18" s="3">
        <v>0</v>
      </c>
      <c r="T18" s="3">
        <v>0</v>
      </c>
      <c r="U18" s="3">
        <v>1</v>
      </c>
      <c r="V18" s="3">
        <v>0</v>
      </c>
    </row>
    <row r="19" spans="1:22" ht="14.25" customHeight="1" x14ac:dyDescent="0.3">
      <c r="A19" s="3" t="s">
        <v>36</v>
      </c>
      <c r="B19" s="3">
        <v>1</v>
      </c>
      <c r="C19" s="3">
        <v>0</v>
      </c>
      <c r="D19" s="3">
        <v>1</v>
      </c>
      <c r="E19" s="3">
        <v>0</v>
      </c>
      <c r="F19" s="3">
        <v>0</v>
      </c>
      <c r="G19" s="3">
        <v>0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0</v>
      </c>
      <c r="O19" s="3">
        <v>1</v>
      </c>
      <c r="P19" s="3">
        <v>0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</row>
    <row r="20" spans="1:22" ht="14.25" customHeight="1" x14ac:dyDescent="0.3">
      <c r="A20" s="3" t="s">
        <v>37</v>
      </c>
      <c r="B20" s="3">
        <v>0</v>
      </c>
      <c r="C20" s="3">
        <v>1</v>
      </c>
      <c r="D20" s="3">
        <v>0</v>
      </c>
      <c r="E20" s="3">
        <v>1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  <c r="P20" s="3">
        <v>1</v>
      </c>
      <c r="Q20" s="3">
        <v>1</v>
      </c>
      <c r="R20" s="3">
        <v>1</v>
      </c>
      <c r="S20" s="3">
        <v>1</v>
      </c>
      <c r="T20" s="3">
        <v>0</v>
      </c>
      <c r="U20" s="3">
        <v>1</v>
      </c>
      <c r="V20" s="3">
        <v>0</v>
      </c>
    </row>
    <row r="21" spans="1:22" ht="14.25" customHeight="1" x14ac:dyDescent="0.3">
      <c r="A21" s="3" t="s">
        <v>38</v>
      </c>
      <c r="B21" s="3">
        <v>1</v>
      </c>
      <c r="C21" s="3">
        <v>0</v>
      </c>
      <c r="D21" s="3">
        <v>1</v>
      </c>
      <c r="E21" s="3">
        <v>0</v>
      </c>
      <c r="F21" s="3">
        <v>1</v>
      </c>
      <c r="G21" s="3">
        <v>0</v>
      </c>
      <c r="H21" s="3">
        <v>0</v>
      </c>
      <c r="I21" s="3">
        <v>1</v>
      </c>
      <c r="J21" s="3">
        <v>0</v>
      </c>
      <c r="K21" s="3">
        <v>1</v>
      </c>
      <c r="L21" s="3">
        <v>0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0</v>
      </c>
    </row>
    <row r="22" spans="1:22" ht="14.25" customHeight="1" x14ac:dyDescent="0.3">
      <c r="A22" s="3" t="s">
        <v>39</v>
      </c>
      <c r="B22" s="3">
        <v>1</v>
      </c>
      <c r="C22" s="3">
        <v>0</v>
      </c>
      <c r="D22" s="3">
        <v>1</v>
      </c>
      <c r="E22" s="3">
        <v>0</v>
      </c>
      <c r="F22" s="3">
        <v>1</v>
      </c>
      <c r="G22" s="3">
        <v>0</v>
      </c>
      <c r="H22" s="3">
        <v>0</v>
      </c>
      <c r="I22" s="3">
        <v>1</v>
      </c>
      <c r="J22" s="3">
        <v>0</v>
      </c>
      <c r="K22" s="3">
        <v>1</v>
      </c>
      <c r="L22" s="3">
        <v>0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0</v>
      </c>
      <c r="U22" s="3">
        <v>0</v>
      </c>
      <c r="V22" s="3">
        <v>0</v>
      </c>
    </row>
    <row r="23" spans="1:22" ht="14.25" customHeight="1" x14ac:dyDescent="0.3">
      <c r="A23" s="3" t="s">
        <v>40</v>
      </c>
      <c r="B23" s="3">
        <v>0</v>
      </c>
      <c r="C23" s="3">
        <v>1</v>
      </c>
      <c r="D23" s="3">
        <v>0</v>
      </c>
      <c r="E23" s="3">
        <v>1</v>
      </c>
      <c r="F23" s="3">
        <v>0</v>
      </c>
      <c r="G23" s="3">
        <v>1</v>
      </c>
      <c r="H23" s="3">
        <v>1</v>
      </c>
      <c r="I23" s="3">
        <v>0</v>
      </c>
      <c r="J23" s="3">
        <v>1</v>
      </c>
      <c r="K23" s="3">
        <v>0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0</v>
      </c>
      <c r="V23" s="3">
        <v>1</v>
      </c>
    </row>
    <row r="24" spans="1:22" ht="14.25" customHeight="1" x14ac:dyDescent="0.3">
      <c r="A24" s="3" t="s">
        <v>41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1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1:22" ht="14.25" customHeight="1" x14ac:dyDescent="0.3">
      <c r="A25" s="3" t="s">
        <v>42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0</v>
      </c>
      <c r="U25" s="3">
        <v>0</v>
      </c>
      <c r="V25" s="3">
        <v>0</v>
      </c>
    </row>
    <row r="26" spans="1:22" ht="14.25" customHeight="1" x14ac:dyDescent="0.3">
      <c r="A26" s="3" t="s">
        <v>43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0</v>
      </c>
      <c r="V26" s="3">
        <v>0</v>
      </c>
    </row>
    <row r="27" spans="1:22" ht="14.25" customHeight="1" x14ac:dyDescent="0.3">
      <c r="A27" s="3" t="s">
        <v>44</v>
      </c>
      <c r="B27" s="3">
        <v>1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1</v>
      </c>
      <c r="P27" s="3">
        <v>0</v>
      </c>
      <c r="Q27" s="3">
        <v>1</v>
      </c>
      <c r="R27" s="3">
        <v>1</v>
      </c>
      <c r="S27" s="3">
        <v>1</v>
      </c>
      <c r="T27" s="3">
        <v>0</v>
      </c>
      <c r="U27" s="3">
        <v>1</v>
      </c>
      <c r="V27" s="3">
        <v>1</v>
      </c>
    </row>
    <row r="28" spans="1:22" ht="14.25" customHeight="1" x14ac:dyDescent="0.3">
      <c r="A28" s="3" t="s">
        <v>45</v>
      </c>
      <c r="B28" s="3">
        <v>1</v>
      </c>
      <c r="C28" s="3">
        <v>1</v>
      </c>
      <c r="D28" s="3">
        <v>1</v>
      </c>
      <c r="E28" s="3">
        <v>1</v>
      </c>
      <c r="F28" s="3">
        <v>0</v>
      </c>
      <c r="G28" s="3">
        <v>0</v>
      </c>
      <c r="H28" s="3">
        <v>1</v>
      </c>
      <c r="I28" s="3">
        <v>1</v>
      </c>
      <c r="J28" s="3">
        <v>0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>
        <v>1</v>
      </c>
      <c r="Q28" s="3">
        <v>0</v>
      </c>
      <c r="R28" s="3">
        <v>1</v>
      </c>
      <c r="S28" s="3">
        <v>1</v>
      </c>
      <c r="T28" s="3">
        <v>1</v>
      </c>
      <c r="U28" s="3">
        <v>0</v>
      </c>
      <c r="V28" s="3">
        <v>1</v>
      </c>
    </row>
    <row r="29" spans="1:22" ht="14.25" customHeight="1" x14ac:dyDescent="0.3">
      <c r="A29" s="3" t="s">
        <v>46</v>
      </c>
      <c r="B29" s="3">
        <v>1</v>
      </c>
      <c r="C29" s="3">
        <v>0</v>
      </c>
      <c r="D29" s="3">
        <v>1</v>
      </c>
      <c r="E29" s="3">
        <v>1</v>
      </c>
      <c r="F29" s="3">
        <v>0</v>
      </c>
      <c r="G29" s="3">
        <v>0</v>
      </c>
      <c r="H29" s="3">
        <v>1</v>
      </c>
      <c r="I29" s="3">
        <v>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0</v>
      </c>
      <c r="R29" s="3">
        <v>1</v>
      </c>
      <c r="S29" s="3">
        <v>1</v>
      </c>
      <c r="T29" s="3">
        <v>1</v>
      </c>
      <c r="U29" s="3">
        <v>0</v>
      </c>
      <c r="V29" s="3">
        <v>1</v>
      </c>
    </row>
    <row r="30" spans="1:22" ht="14.25" customHeight="1" x14ac:dyDescent="0.3">
      <c r="A30" s="3" t="s">
        <v>47</v>
      </c>
      <c r="B30" s="3">
        <v>0</v>
      </c>
      <c r="C30" s="3">
        <v>0</v>
      </c>
      <c r="D30" s="3">
        <v>0</v>
      </c>
      <c r="E30" s="3">
        <v>1</v>
      </c>
      <c r="F30" s="3">
        <v>1</v>
      </c>
      <c r="G30" s="3">
        <v>1</v>
      </c>
      <c r="H30" s="3">
        <v>0</v>
      </c>
      <c r="I30" s="3">
        <v>0</v>
      </c>
      <c r="J30" s="3">
        <v>0</v>
      </c>
      <c r="K30" s="3">
        <v>1</v>
      </c>
      <c r="L30" s="3">
        <v>1</v>
      </c>
      <c r="M30" s="3">
        <v>1</v>
      </c>
      <c r="N30" s="3">
        <v>0</v>
      </c>
      <c r="O30" s="3">
        <v>0</v>
      </c>
      <c r="P30" s="3">
        <v>0</v>
      </c>
      <c r="Q30" s="3">
        <v>1</v>
      </c>
      <c r="R30" s="3">
        <v>1</v>
      </c>
      <c r="S30" s="3">
        <v>1</v>
      </c>
      <c r="T30" s="3">
        <v>0</v>
      </c>
      <c r="U30" s="3">
        <v>0</v>
      </c>
      <c r="V30" s="3">
        <v>0</v>
      </c>
    </row>
    <row r="31" spans="1:22" ht="14.25" customHeight="1" x14ac:dyDescent="0.3">
      <c r="A31" s="3" t="s">
        <v>48</v>
      </c>
      <c r="B31" s="3">
        <v>1</v>
      </c>
      <c r="C31" s="3">
        <v>1</v>
      </c>
      <c r="D31" s="3">
        <v>1</v>
      </c>
      <c r="E31" s="3">
        <v>0</v>
      </c>
      <c r="F31" s="3">
        <v>0</v>
      </c>
      <c r="G31" s="3">
        <v>0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1</v>
      </c>
      <c r="O31" s="3">
        <v>1</v>
      </c>
      <c r="P31" s="3">
        <v>1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showGridLines="0" workbookViewId="0"/>
  </sheetViews>
  <sheetFormatPr defaultRowHeight="14.4" x14ac:dyDescent="0.3"/>
  <cols>
    <col min="1" max="1" width="32" customWidth="1"/>
    <col min="2" max="2" width="16" customWidth="1"/>
    <col min="3" max="3" width="24" customWidth="1"/>
    <col min="4" max="4" width="60" customWidth="1"/>
    <col min="5" max="5" width="24" customWidth="1"/>
    <col min="6" max="6" width="30" customWidth="1"/>
  </cols>
  <sheetData>
    <row r="1" spans="1:7" ht="15" customHeight="1" x14ac:dyDescent="0.3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</row>
    <row r="2" spans="1:7" ht="15" customHeight="1" x14ac:dyDescent="0.3">
      <c r="A2" s="5" t="s">
        <v>50</v>
      </c>
      <c r="B2" s="5" t="s">
        <v>78</v>
      </c>
      <c r="C2" s="5" t="s">
        <v>79</v>
      </c>
      <c r="D2" s="5" t="s">
        <v>80</v>
      </c>
      <c r="E2" s="5">
        <f>SUM('matriz Two-mode'!B2:B31)</f>
        <v>16</v>
      </c>
      <c r="F2" s="5">
        <f>SUMPRODUCT('matriz Two-mode'!B2:B31*Atributos_Portos!$D$2:$D$31)</f>
        <v>3</v>
      </c>
      <c r="G2" s="6">
        <f t="shared" ref="G2:G22" si="0">IF(E2=0,0,F2/E2)</f>
        <v>0.1875</v>
      </c>
    </row>
    <row r="3" spans="1:7" ht="15" customHeight="1" x14ac:dyDescent="0.3">
      <c r="A3" s="5" t="s">
        <v>51</v>
      </c>
      <c r="B3" s="5" t="s">
        <v>78</v>
      </c>
      <c r="C3" s="5" t="s">
        <v>81</v>
      </c>
      <c r="D3" s="5" t="s">
        <v>82</v>
      </c>
      <c r="E3" s="5">
        <f>SUM('matriz Two-mode'!C2:C31)</f>
        <v>10</v>
      </c>
      <c r="F3" s="5">
        <f>SUMPRODUCT('matriz Two-mode'!C2:C31*Atributos_Portos!$D$2:$D$31)</f>
        <v>5</v>
      </c>
      <c r="G3" s="6">
        <f t="shared" si="0"/>
        <v>0.5</v>
      </c>
    </row>
    <row r="4" spans="1:7" ht="15" customHeight="1" x14ac:dyDescent="0.3">
      <c r="A4" s="5" t="s">
        <v>52</v>
      </c>
      <c r="B4" s="5" t="s">
        <v>83</v>
      </c>
      <c r="C4" s="5" t="s">
        <v>79</v>
      </c>
      <c r="D4" s="5" t="s">
        <v>84</v>
      </c>
      <c r="E4" s="5">
        <f>SUM('matriz Two-mode'!D2:D31)</f>
        <v>16</v>
      </c>
      <c r="F4" s="5">
        <f>SUMPRODUCT('matriz Two-mode'!D2:D31*Atributos_Portos!$D$2:$D$31)</f>
        <v>5</v>
      </c>
      <c r="G4" s="6">
        <f t="shared" si="0"/>
        <v>0.3125</v>
      </c>
    </row>
    <row r="5" spans="1:7" ht="15" customHeight="1" x14ac:dyDescent="0.3">
      <c r="A5" s="5" t="s">
        <v>53</v>
      </c>
      <c r="B5" s="5" t="s">
        <v>78</v>
      </c>
      <c r="C5" s="5" t="s">
        <v>85</v>
      </c>
      <c r="D5" s="5" t="s">
        <v>86</v>
      </c>
      <c r="E5" s="5">
        <f>SUM('matriz Two-mode'!E2:E31)</f>
        <v>11</v>
      </c>
      <c r="F5" s="5">
        <f>SUMPRODUCT('matriz Two-mode'!E2:E31*Atributos_Portos!$D$2:$D$31)</f>
        <v>6</v>
      </c>
      <c r="G5" s="6">
        <f t="shared" si="0"/>
        <v>0.54545454545454541</v>
      </c>
    </row>
    <row r="6" spans="1:7" ht="15" customHeight="1" x14ac:dyDescent="0.3">
      <c r="A6" s="5" t="s">
        <v>54</v>
      </c>
      <c r="B6" s="5" t="s">
        <v>87</v>
      </c>
      <c r="C6" s="5" t="s">
        <v>88</v>
      </c>
      <c r="D6" s="5" t="s">
        <v>89</v>
      </c>
      <c r="E6" s="5">
        <f>SUM('matriz Two-mode'!F2:F31)</f>
        <v>20</v>
      </c>
      <c r="F6" s="5">
        <f>SUMPRODUCT('matriz Two-mode'!F2:F31*Atributos_Portos!$D$2:$D$31)</f>
        <v>9</v>
      </c>
      <c r="G6" s="6">
        <f t="shared" si="0"/>
        <v>0.45</v>
      </c>
    </row>
    <row r="7" spans="1:7" ht="15" customHeight="1" x14ac:dyDescent="0.3">
      <c r="A7" s="5" t="s">
        <v>55</v>
      </c>
      <c r="B7" s="5" t="s">
        <v>87</v>
      </c>
      <c r="C7" s="5" t="s">
        <v>90</v>
      </c>
      <c r="D7" s="5" t="s">
        <v>91</v>
      </c>
      <c r="E7" s="5">
        <f>SUM('matriz Two-mode'!G2:G31)</f>
        <v>7</v>
      </c>
      <c r="F7" s="5">
        <f>SUMPRODUCT('matriz Two-mode'!G2:G31*Atributos_Portos!$D$2:$D$31)</f>
        <v>2</v>
      </c>
      <c r="G7" s="6">
        <f t="shared" si="0"/>
        <v>0.2857142857142857</v>
      </c>
    </row>
    <row r="8" spans="1:7" ht="15" customHeight="1" x14ac:dyDescent="0.3">
      <c r="A8" s="5" t="s">
        <v>56</v>
      </c>
      <c r="B8" s="5" t="s">
        <v>83</v>
      </c>
      <c r="C8" s="5" t="s">
        <v>85</v>
      </c>
      <c r="D8" s="5" t="s">
        <v>92</v>
      </c>
      <c r="E8" s="5">
        <f>SUM('matriz Two-mode'!H2:H31)</f>
        <v>17</v>
      </c>
      <c r="F8" s="5">
        <f>SUMPRODUCT('matriz Two-mode'!H2:H31*Atributos_Portos!$D$2:$D$31)</f>
        <v>5</v>
      </c>
      <c r="G8" s="6">
        <f t="shared" si="0"/>
        <v>0.29411764705882354</v>
      </c>
    </row>
    <row r="9" spans="1:7" ht="15" customHeight="1" x14ac:dyDescent="0.3">
      <c r="A9" s="5" t="s">
        <v>57</v>
      </c>
      <c r="B9" s="5" t="s">
        <v>87</v>
      </c>
      <c r="C9" s="5" t="s">
        <v>79</v>
      </c>
      <c r="D9" s="5" t="s">
        <v>93</v>
      </c>
      <c r="E9" s="5">
        <f>SUM('matriz Two-mode'!I2:I31)</f>
        <v>16</v>
      </c>
      <c r="F9" s="5">
        <f>SUMPRODUCT('matriz Two-mode'!I2:I31*Atributos_Portos!$D$2:$D$31)</f>
        <v>4</v>
      </c>
      <c r="G9" s="6">
        <f t="shared" si="0"/>
        <v>0.25</v>
      </c>
    </row>
    <row r="10" spans="1:7" ht="15" customHeight="1" x14ac:dyDescent="0.3">
      <c r="A10" s="5" t="s">
        <v>58</v>
      </c>
      <c r="B10" s="5" t="s">
        <v>78</v>
      </c>
      <c r="C10" s="5" t="s">
        <v>79</v>
      </c>
      <c r="D10" s="5" t="s">
        <v>94</v>
      </c>
      <c r="E10" s="5">
        <f>SUM('matriz Two-mode'!J2:J31)</f>
        <v>13</v>
      </c>
      <c r="F10" s="5">
        <f>SUMPRODUCT('matriz Two-mode'!J2:J31*Atributos_Portos!$D$2:$D$31)</f>
        <v>4</v>
      </c>
      <c r="G10" s="6">
        <f t="shared" si="0"/>
        <v>0.30769230769230771</v>
      </c>
    </row>
    <row r="11" spans="1:7" ht="15" customHeight="1" x14ac:dyDescent="0.3">
      <c r="A11" s="5" t="s">
        <v>59</v>
      </c>
      <c r="B11" s="5" t="s">
        <v>78</v>
      </c>
      <c r="C11" s="5" t="s">
        <v>79</v>
      </c>
      <c r="D11" s="5" t="s">
        <v>95</v>
      </c>
      <c r="E11" s="5">
        <f>SUM('matriz Two-mode'!K2:K31)</f>
        <v>13</v>
      </c>
      <c r="F11" s="5">
        <f>SUMPRODUCT('matriz Two-mode'!K2:K31*Atributos_Portos!$D$2:$D$31)</f>
        <v>2</v>
      </c>
      <c r="G11" s="6">
        <f t="shared" si="0"/>
        <v>0.15384615384615385</v>
      </c>
    </row>
    <row r="12" spans="1:7" ht="15" customHeight="1" x14ac:dyDescent="0.3">
      <c r="A12" s="5" t="s">
        <v>60</v>
      </c>
      <c r="B12" s="5" t="s">
        <v>87</v>
      </c>
      <c r="C12" s="5" t="s">
        <v>79</v>
      </c>
      <c r="D12" s="5" t="s">
        <v>96</v>
      </c>
      <c r="E12" s="5">
        <f>SUM('matriz Two-mode'!L2:L31)</f>
        <v>6</v>
      </c>
      <c r="F12" s="5">
        <f>SUMPRODUCT('matriz Two-mode'!L2:L31*Atributos_Portos!$D$2:$D$31)</f>
        <v>0</v>
      </c>
      <c r="G12" s="6">
        <f t="shared" si="0"/>
        <v>0</v>
      </c>
    </row>
    <row r="13" spans="1:7" ht="15" customHeight="1" x14ac:dyDescent="0.3">
      <c r="A13" s="5" t="s">
        <v>61</v>
      </c>
      <c r="B13" s="5" t="s">
        <v>87</v>
      </c>
      <c r="C13" s="5" t="s">
        <v>79</v>
      </c>
      <c r="D13" s="5" t="s">
        <v>97</v>
      </c>
      <c r="E13" s="5">
        <f>SUM('matriz Two-mode'!M2:M31)</f>
        <v>7</v>
      </c>
      <c r="F13" s="5">
        <f>SUMPRODUCT('matriz Two-mode'!M2:M31*Atributos_Portos!$D$2:$D$31)</f>
        <v>1</v>
      </c>
      <c r="G13" s="6">
        <f t="shared" si="0"/>
        <v>0.14285714285714285</v>
      </c>
    </row>
    <row r="14" spans="1:7" ht="15" customHeight="1" x14ac:dyDescent="0.3">
      <c r="A14" s="5" t="s">
        <v>62</v>
      </c>
      <c r="B14" s="5" t="s">
        <v>87</v>
      </c>
      <c r="C14" s="5" t="s">
        <v>79</v>
      </c>
      <c r="D14" s="5" t="s">
        <v>98</v>
      </c>
      <c r="E14" s="5">
        <f>SUM('matriz Two-mode'!N2:N31)</f>
        <v>14</v>
      </c>
      <c r="F14" s="5">
        <f>SUMPRODUCT('matriz Two-mode'!N2:N31*Atributos_Portos!$D$2:$D$31)</f>
        <v>7</v>
      </c>
      <c r="G14" s="6">
        <f t="shared" si="0"/>
        <v>0.5</v>
      </c>
    </row>
    <row r="15" spans="1:7" ht="15" customHeight="1" x14ac:dyDescent="0.3">
      <c r="A15" s="5" t="s">
        <v>63</v>
      </c>
      <c r="B15" s="5" t="s">
        <v>87</v>
      </c>
      <c r="C15" s="5" t="s">
        <v>79</v>
      </c>
      <c r="D15" s="5" t="s">
        <v>97</v>
      </c>
      <c r="E15" s="5">
        <f>SUM('matriz Two-mode'!O2:O31)</f>
        <v>18</v>
      </c>
      <c r="F15" s="5">
        <f>SUMPRODUCT('matriz Two-mode'!O2:O31*Atributos_Portos!$D$2:$D$31)</f>
        <v>5</v>
      </c>
      <c r="G15" s="6">
        <f t="shared" si="0"/>
        <v>0.27777777777777779</v>
      </c>
    </row>
    <row r="16" spans="1:7" ht="15" customHeight="1" x14ac:dyDescent="0.3">
      <c r="A16" s="5" t="s">
        <v>64</v>
      </c>
      <c r="B16" s="5" t="s">
        <v>83</v>
      </c>
      <c r="C16" s="5" t="s">
        <v>81</v>
      </c>
      <c r="D16" s="5" t="s">
        <v>99</v>
      </c>
      <c r="E16" s="5">
        <f>SUM('matriz Two-mode'!P2:P31)</f>
        <v>12</v>
      </c>
      <c r="F16" s="5">
        <f>SUMPRODUCT('matriz Two-mode'!P2:P31*Atributos_Portos!$D$2:$D$31)</f>
        <v>4</v>
      </c>
      <c r="G16" s="6">
        <f t="shared" si="0"/>
        <v>0.33333333333333331</v>
      </c>
    </row>
    <row r="17" spans="1:7" ht="15" customHeight="1" x14ac:dyDescent="0.3">
      <c r="A17" s="5" t="s">
        <v>65</v>
      </c>
      <c r="B17" s="5" t="s">
        <v>87</v>
      </c>
      <c r="C17" s="5" t="s">
        <v>88</v>
      </c>
      <c r="D17" s="5" t="s">
        <v>100</v>
      </c>
      <c r="E17" s="5">
        <f>SUM('matriz Two-mode'!Q2:Q31)</f>
        <v>27</v>
      </c>
      <c r="F17" s="5">
        <f>SUMPRODUCT('matriz Two-mode'!Q2:Q31*Atributos_Portos!$D$2:$D$31)</f>
        <v>10</v>
      </c>
      <c r="G17" s="6">
        <f t="shared" si="0"/>
        <v>0.37037037037037035</v>
      </c>
    </row>
    <row r="18" spans="1:7" ht="15" customHeight="1" x14ac:dyDescent="0.3">
      <c r="A18" s="5" t="s">
        <v>66</v>
      </c>
      <c r="B18" s="5" t="s">
        <v>87</v>
      </c>
      <c r="C18" s="5" t="s">
        <v>85</v>
      </c>
      <c r="D18" s="5" t="s">
        <v>101</v>
      </c>
      <c r="E18" s="5">
        <f>SUM('matriz Two-mode'!R2:R31)</f>
        <v>26</v>
      </c>
      <c r="F18" s="5">
        <f>SUMPRODUCT('matriz Two-mode'!R2:R31*Atributos_Portos!$D$2:$D$31)</f>
        <v>10</v>
      </c>
      <c r="G18" s="6">
        <f t="shared" si="0"/>
        <v>0.38461538461538464</v>
      </c>
    </row>
    <row r="19" spans="1:7" ht="15" customHeight="1" x14ac:dyDescent="0.3">
      <c r="A19" s="5" t="s">
        <v>67</v>
      </c>
      <c r="B19" s="5" t="s">
        <v>87</v>
      </c>
      <c r="C19" s="5" t="s">
        <v>79</v>
      </c>
      <c r="D19" s="5" t="s">
        <v>97</v>
      </c>
      <c r="E19" s="5">
        <f>SUM('matriz Two-mode'!S2:S31)</f>
        <v>20</v>
      </c>
      <c r="F19" s="5">
        <f>SUMPRODUCT('matriz Two-mode'!S2:S31*Atributos_Portos!$D$2:$D$31)</f>
        <v>7</v>
      </c>
      <c r="G19" s="6">
        <f t="shared" si="0"/>
        <v>0.35</v>
      </c>
    </row>
    <row r="20" spans="1:7" ht="15" customHeight="1" x14ac:dyDescent="0.3">
      <c r="A20" s="5" t="s">
        <v>68</v>
      </c>
      <c r="B20" s="5" t="s">
        <v>83</v>
      </c>
      <c r="C20" s="5" t="s">
        <v>79</v>
      </c>
      <c r="D20" s="5" t="s">
        <v>102</v>
      </c>
      <c r="E20" s="5">
        <f>SUM('matriz Two-mode'!T2:T31)</f>
        <v>12</v>
      </c>
      <c r="F20" s="5">
        <f>SUMPRODUCT('matriz Two-mode'!T2:T31*Atributos_Portos!$D$2:$D$31)</f>
        <v>3</v>
      </c>
      <c r="G20" s="6">
        <f t="shared" si="0"/>
        <v>0.25</v>
      </c>
    </row>
    <row r="21" spans="1:7" ht="15" customHeight="1" x14ac:dyDescent="0.3">
      <c r="A21" s="5" t="s">
        <v>69</v>
      </c>
      <c r="B21" s="5" t="s">
        <v>87</v>
      </c>
      <c r="C21" s="5" t="s">
        <v>79</v>
      </c>
      <c r="D21" s="5" t="s">
        <v>103</v>
      </c>
      <c r="E21" s="5">
        <f>SUM('matriz Two-mode'!U2:U31)</f>
        <v>14</v>
      </c>
      <c r="F21" s="5">
        <f>SUMPRODUCT('matriz Two-mode'!U2:U31*Atributos_Portos!$D$2:$D$31)</f>
        <v>7</v>
      </c>
      <c r="G21" s="6">
        <f t="shared" si="0"/>
        <v>0.5</v>
      </c>
    </row>
    <row r="22" spans="1:7" ht="15" customHeight="1" x14ac:dyDescent="0.3">
      <c r="A22" s="5" t="s">
        <v>70</v>
      </c>
      <c r="B22" s="5" t="s">
        <v>87</v>
      </c>
      <c r="C22" s="5" t="s">
        <v>85</v>
      </c>
      <c r="D22" s="5" t="s">
        <v>104</v>
      </c>
      <c r="E22" s="5">
        <f>SUM('matriz Two-mode'!V2:V31)</f>
        <v>15</v>
      </c>
      <c r="F22" s="5">
        <f>SUMPRODUCT('matriz Two-mode'!V2:V31*Atributos_Portos!$D$2:$D$31)</f>
        <v>4</v>
      </c>
      <c r="G22" s="6">
        <f t="shared" si="0"/>
        <v>0.26666666666666666</v>
      </c>
    </row>
    <row r="23" spans="1:7" ht="15" customHeight="1" x14ac:dyDescent="0.3">
      <c r="A23" s="5"/>
      <c r="B23" s="5"/>
      <c r="C23" s="5"/>
      <c r="D23" s="5"/>
      <c r="E23" s="5"/>
    </row>
    <row r="24" spans="1:7" ht="15" customHeight="1" x14ac:dyDescent="0.3">
      <c r="A24" s="5" t="s">
        <v>105</v>
      </c>
      <c r="B24" s="5"/>
      <c r="C24" s="5"/>
      <c r="D24" s="5"/>
      <c r="E24" s="5"/>
    </row>
    <row r="25" spans="1:7" ht="15" customHeight="1" x14ac:dyDescent="0.3">
      <c r="A25" s="3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showGridLines="0" workbookViewId="0"/>
  </sheetViews>
  <sheetFormatPr defaultRowHeight="14.4" x14ac:dyDescent="0.3"/>
  <cols>
    <col min="1" max="1" width="18" customWidth="1"/>
    <col min="2" max="2" width="34" customWidth="1"/>
    <col min="3" max="3" width="16" customWidth="1"/>
    <col min="4" max="4" width="18" customWidth="1"/>
  </cols>
  <sheetData>
    <row r="1" spans="1:4" ht="15" customHeight="1" x14ac:dyDescent="0.3">
      <c r="A1" s="4" t="s">
        <v>107</v>
      </c>
      <c r="B1" s="4" t="s">
        <v>108</v>
      </c>
      <c r="C1" s="4" t="s">
        <v>109</v>
      </c>
      <c r="D1" s="4" t="s">
        <v>110</v>
      </c>
    </row>
    <row r="2" spans="1:4" ht="15" customHeight="1" x14ac:dyDescent="0.3">
      <c r="A2" s="5" t="s">
        <v>19</v>
      </c>
      <c r="B2" s="5" t="s">
        <v>111</v>
      </c>
      <c r="C2" s="5" t="s">
        <v>112</v>
      </c>
      <c r="D2" s="5">
        <f t="shared" ref="D2:D31" si="0">IF(C2="Não exposto",0,1)</f>
        <v>0</v>
      </c>
    </row>
    <row r="3" spans="1:4" ht="15" customHeight="1" x14ac:dyDescent="0.3">
      <c r="A3" s="5" t="s">
        <v>20</v>
      </c>
      <c r="B3" s="5" t="s">
        <v>113</v>
      </c>
      <c r="C3" s="5" t="s">
        <v>112</v>
      </c>
      <c r="D3" s="5">
        <f t="shared" si="0"/>
        <v>0</v>
      </c>
    </row>
    <row r="4" spans="1:4" ht="15" customHeight="1" x14ac:dyDescent="0.3">
      <c r="A4" s="5" t="s">
        <v>21</v>
      </c>
      <c r="B4" s="5" t="s">
        <v>114</v>
      </c>
      <c r="C4" s="5" t="s">
        <v>90</v>
      </c>
      <c r="D4" s="5">
        <f t="shared" si="0"/>
        <v>1</v>
      </c>
    </row>
    <row r="5" spans="1:4" ht="15" customHeight="1" x14ac:dyDescent="0.3">
      <c r="A5" s="5" t="s">
        <v>22</v>
      </c>
      <c r="B5" s="5" t="s">
        <v>115</v>
      </c>
      <c r="C5" s="5" t="s">
        <v>112</v>
      </c>
      <c r="D5" s="5">
        <f t="shared" si="0"/>
        <v>0</v>
      </c>
    </row>
    <row r="6" spans="1:4" ht="15" customHeight="1" x14ac:dyDescent="0.3">
      <c r="A6" s="5" t="s">
        <v>23</v>
      </c>
      <c r="B6" s="5" t="s">
        <v>111</v>
      </c>
      <c r="C6" s="5" t="s">
        <v>112</v>
      </c>
      <c r="D6" s="5">
        <f t="shared" si="0"/>
        <v>0</v>
      </c>
    </row>
    <row r="7" spans="1:4" ht="15" customHeight="1" x14ac:dyDescent="0.3">
      <c r="A7" s="5" t="s">
        <v>24</v>
      </c>
      <c r="B7" s="5" t="s">
        <v>116</v>
      </c>
      <c r="C7" s="5" t="s">
        <v>112</v>
      </c>
      <c r="D7" s="5">
        <f t="shared" si="0"/>
        <v>0</v>
      </c>
    </row>
    <row r="8" spans="1:4" ht="15" customHeight="1" x14ac:dyDescent="0.3">
      <c r="A8" s="5" t="s">
        <v>25</v>
      </c>
      <c r="B8" s="5" t="s">
        <v>117</v>
      </c>
      <c r="C8" s="5" t="s">
        <v>112</v>
      </c>
      <c r="D8" s="5">
        <f t="shared" si="0"/>
        <v>0</v>
      </c>
    </row>
    <row r="9" spans="1:4" ht="15" customHeight="1" x14ac:dyDescent="0.3">
      <c r="A9" s="5" t="s">
        <v>26</v>
      </c>
      <c r="B9" s="5" t="s">
        <v>113</v>
      </c>
      <c r="C9" s="5" t="s">
        <v>112</v>
      </c>
      <c r="D9" s="5">
        <f t="shared" si="0"/>
        <v>0</v>
      </c>
    </row>
    <row r="10" spans="1:4" ht="15" customHeight="1" x14ac:dyDescent="0.3">
      <c r="A10" s="5" t="s">
        <v>27</v>
      </c>
      <c r="B10" s="5" t="s">
        <v>118</v>
      </c>
      <c r="C10" s="5" t="s">
        <v>119</v>
      </c>
      <c r="D10" s="5">
        <f t="shared" si="0"/>
        <v>1</v>
      </c>
    </row>
    <row r="11" spans="1:4" ht="15" customHeight="1" x14ac:dyDescent="0.3">
      <c r="A11" s="5" t="s">
        <v>28</v>
      </c>
      <c r="B11" s="5" t="s">
        <v>120</v>
      </c>
      <c r="C11" s="5" t="s">
        <v>119</v>
      </c>
      <c r="D11" s="5">
        <f t="shared" si="0"/>
        <v>1</v>
      </c>
    </row>
    <row r="12" spans="1:4" ht="15" customHeight="1" x14ac:dyDescent="0.3">
      <c r="A12" s="5" t="s">
        <v>29</v>
      </c>
      <c r="B12" s="5" t="s">
        <v>121</v>
      </c>
      <c r="C12" s="5" t="s">
        <v>81</v>
      </c>
      <c r="D12" s="5">
        <f t="shared" si="0"/>
        <v>1</v>
      </c>
    </row>
    <row r="13" spans="1:4" ht="15" customHeight="1" x14ac:dyDescent="0.3">
      <c r="A13" s="5" t="s">
        <v>30</v>
      </c>
      <c r="B13" s="5" t="s">
        <v>122</v>
      </c>
      <c r="C13" s="5" t="s">
        <v>112</v>
      </c>
      <c r="D13" s="5">
        <f t="shared" si="0"/>
        <v>0</v>
      </c>
    </row>
    <row r="14" spans="1:4" ht="15" customHeight="1" x14ac:dyDescent="0.3">
      <c r="A14" s="5" t="s">
        <v>31</v>
      </c>
      <c r="B14" s="5" t="s">
        <v>123</v>
      </c>
      <c r="C14" s="5" t="s">
        <v>90</v>
      </c>
      <c r="D14" s="5">
        <f t="shared" si="0"/>
        <v>1</v>
      </c>
    </row>
    <row r="15" spans="1:4" ht="15" customHeight="1" x14ac:dyDescent="0.3">
      <c r="A15" s="5" t="s">
        <v>32</v>
      </c>
      <c r="B15" s="5" t="s">
        <v>111</v>
      </c>
      <c r="C15" s="5" t="s">
        <v>112</v>
      </c>
      <c r="D15" s="5">
        <f t="shared" si="0"/>
        <v>0</v>
      </c>
    </row>
    <row r="16" spans="1:4" ht="15" customHeight="1" x14ac:dyDescent="0.3">
      <c r="A16" s="5" t="s">
        <v>33</v>
      </c>
      <c r="B16" s="5" t="s">
        <v>111</v>
      </c>
      <c r="C16" s="5" t="s">
        <v>112</v>
      </c>
      <c r="D16" s="5">
        <f t="shared" si="0"/>
        <v>0</v>
      </c>
    </row>
    <row r="17" spans="1:4" ht="15" customHeight="1" x14ac:dyDescent="0.3">
      <c r="A17" s="5" t="s">
        <v>34</v>
      </c>
      <c r="B17" s="5" t="s">
        <v>124</v>
      </c>
      <c r="C17" s="5" t="s">
        <v>112</v>
      </c>
      <c r="D17" s="5">
        <f t="shared" si="0"/>
        <v>0</v>
      </c>
    </row>
    <row r="18" spans="1:4" ht="15" customHeight="1" x14ac:dyDescent="0.3">
      <c r="A18" s="5" t="s">
        <v>35</v>
      </c>
      <c r="B18" s="5" t="s">
        <v>125</v>
      </c>
      <c r="C18" s="5" t="s">
        <v>119</v>
      </c>
      <c r="D18" s="5">
        <f t="shared" si="0"/>
        <v>1</v>
      </c>
    </row>
    <row r="19" spans="1:4" ht="15" customHeight="1" x14ac:dyDescent="0.3">
      <c r="A19" s="5" t="s">
        <v>36</v>
      </c>
      <c r="B19" s="5" t="s">
        <v>126</v>
      </c>
      <c r="C19" s="5" t="s">
        <v>112</v>
      </c>
      <c r="D19" s="5">
        <f t="shared" si="0"/>
        <v>0</v>
      </c>
    </row>
    <row r="20" spans="1:4" ht="15" customHeight="1" x14ac:dyDescent="0.3">
      <c r="A20" s="5" t="s">
        <v>37</v>
      </c>
      <c r="B20" s="5" t="s">
        <v>127</v>
      </c>
      <c r="C20" s="5" t="s">
        <v>81</v>
      </c>
      <c r="D20" s="5">
        <f t="shared" si="0"/>
        <v>1</v>
      </c>
    </row>
    <row r="21" spans="1:4" ht="15" customHeight="1" x14ac:dyDescent="0.3">
      <c r="A21" s="5" t="s">
        <v>38</v>
      </c>
      <c r="B21" s="5" t="s">
        <v>118</v>
      </c>
      <c r="C21" s="5" t="s">
        <v>119</v>
      </c>
      <c r="D21" s="5">
        <f t="shared" si="0"/>
        <v>1</v>
      </c>
    </row>
    <row r="22" spans="1:4" ht="15" customHeight="1" x14ac:dyDescent="0.3">
      <c r="A22" s="5" t="s">
        <v>39</v>
      </c>
      <c r="B22" s="5" t="s">
        <v>113</v>
      </c>
      <c r="C22" s="5" t="s">
        <v>112</v>
      </c>
      <c r="D22" s="5">
        <f t="shared" si="0"/>
        <v>0</v>
      </c>
    </row>
    <row r="23" spans="1:4" ht="15" customHeight="1" x14ac:dyDescent="0.3">
      <c r="A23" s="5" t="s">
        <v>40</v>
      </c>
      <c r="B23" s="5" t="s">
        <v>113</v>
      </c>
      <c r="C23" s="5" t="s">
        <v>112</v>
      </c>
      <c r="D23" s="5">
        <f t="shared" si="0"/>
        <v>0</v>
      </c>
    </row>
    <row r="24" spans="1:4" ht="15" customHeight="1" x14ac:dyDescent="0.3">
      <c r="A24" s="5" t="s">
        <v>41</v>
      </c>
      <c r="B24" s="5" t="s">
        <v>121</v>
      </c>
      <c r="C24" s="5" t="s">
        <v>81</v>
      </c>
      <c r="D24" s="5">
        <f t="shared" si="0"/>
        <v>1</v>
      </c>
    </row>
    <row r="25" spans="1:4" ht="15" customHeight="1" x14ac:dyDescent="0.3">
      <c r="A25" s="5" t="s">
        <v>42</v>
      </c>
      <c r="B25" s="5" t="s">
        <v>123</v>
      </c>
      <c r="C25" s="5" t="s">
        <v>90</v>
      </c>
      <c r="D25" s="5">
        <f t="shared" si="0"/>
        <v>1</v>
      </c>
    </row>
    <row r="26" spans="1:4" ht="15" customHeight="1" x14ac:dyDescent="0.3">
      <c r="A26" s="5" t="s">
        <v>43</v>
      </c>
      <c r="B26" s="5" t="s">
        <v>128</v>
      </c>
      <c r="C26" s="5" t="s">
        <v>112</v>
      </c>
      <c r="D26" s="5">
        <f t="shared" si="0"/>
        <v>0</v>
      </c>
    </row>
    <row r="27" spans="1:4" ht="15" customHeight="1" x14ac:dyDescent="0.3">
      <c r="A27" s="5" t="s">
        <v>44</v>
      </c>
      <c r="B27" s="5" t="s">
        <v>129</v>
      </c>
      <c r="C27" s="5" t="s">
        <v>112</v>
      </c>
      <c r="D27" s="5">
        <f t="shared" si="0"/>
        <v>0</v>
      </c>
    </row>
    <row r="28" spans="1:4" ht="15" customHeight="1" x14ac:dyDescent="0.3">
      <c r="A28" s="5" t="s">
        <v>45</v>
      </c>
      <c r="B28" s="5" t="s">
        <v>130</v>
      </c>
      <c r="C28" s="5" t="s">
        <v>112</v>
      </c>
      <c r="D28" s="5">
        <f t="shared" si="0"/>
        <v>0</v>
      </c>
    </row>
    <row r="29" spans="1:4" ht="15" customHeight="1" x14ac:dyDescent="0.3">
      <c r="A29" s="5" t="s">
        <v>46</v>
      </c>
      <c r="B29" s="5" t="s">
        <v>131</v>
      </c>
      <c r="C29" s="5" t="s">
        <v>119</v>
      </c>
      <c r="D29" s="5">
        <f t="shared" si="0"/>
        <v>1</v>
      </c>
    </row>
    <row r="30" spans="1:4" ht="15" customHeight="1" x14ac:dyDescent="0.3">
      <c r="A30" s="5" t="s">
        <v>47</v>
      </c>
      <c r="B30" s="5" t="s">
        <v>132</v>
      </c>
      <c r="C30" s="5" t="s">
        <v>112</v>
      </c>
      <c r="D30" s="5">
        <f t="shared" si="0"/>
        <v>0</v>
      </c>
    </row>
    <row r="31" spans="1:4" ht="15" customHeight="1" x14ac:dyDescent="0.3">
      <c r="A31" s="5" t="s">
        <v>48</v>
      </c>
      <c r="B31" s="5" t="s">
        <v>128</v>
      </c>
      <c r="C31" s="5" t="s">
        <v>112</v>
      </c>
      <c r="D31" s="5">
        <f t="shared" si="0"/>
        <v>0</v>
      </c>
    </row>
    <row r="32" spans="1:4" ht="15" customHeight="1" x14ac:dyDescent="0.3">
      <c r="A32" s="5"/>
      <c r="B32" s="5"/>
      <c r="C32" s="5"/>
      <c r="D32" s="5"/>
    </row>
    <row r="33" spans="1:4" ht="15" customHeight="1" x14ac:dyDescent="0.3">
      <c r="A33" s="5" t="s">
        <v>133</v>
      </c>
      <c r="B33" s="5"/>
      <c r="C33" s="5"/>
      <c r="D33" s="5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e1f3187-4610-4ce2-bad1-b92f4ba36ab3}" enabled="0" method="" siteId="{0e1f3187-4610-4ce2-bad1-b92f4ba36a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Notas V2</vt:lpstr>
      <vt:lpstr>matriz One-mode</vt:lpstr>
      <vt:lpstr>matriz Two-mode</vt:lpstr>
      <vt:lpstr>Atributos_Insumos</vt:lpstr>
      <vt:lpstr>Atributos_Portos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Fabio</dc:creator>
  <cp:lastModifiedBy>Ribeiro, Fabio</cp:lastModifiedBy>
  <dcterms:created xsi:type="dcterms:W3CDTF">2026-10-16T15:14:50Z</dcterms:created>
  <dcterms:modified xsi:type="dcterms:W3CDTF">2026-10-16T16:00:45Z</dcterms:modified>
</cp:coreProperties>
</file>